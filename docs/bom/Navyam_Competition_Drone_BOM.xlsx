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y List" sheetId="1" state="visible" r:id="rId3"/>
    <sheet name="Already Owned" sheetId="2" state="visible" r:id="rId4"/>
    <sheet name="Compatibility Checks" sheetId="3" state="visible" r:id="rId5"/>
    <sheet name="Order &amp; Arrival Checklist" sheetId="4" state="visible" r:id="rId6"/>
    <sheet name="Frame Measurements" sheetId="5" state="visible" r:id="rId7"/>
    <sheet name="Not Buying (Why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Navyam</author>
  </authors>
  <commentList>
    <comment ref="E12" authorId="0">
      <text>
        <r>
          <rPr>
            <sz val="10"/>
            <rFont val="Arial"/>
            <family val="2"/>
          </rPr>
          <t xml:space="preserve">Last listed price at Zbotic (HQProp 7x4x3, out of stock on 31 Oct 2026). Update when you buy.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49</xdr:colOff>
                <xdr:row>0</xdr:row>
                <xdr:rowOff>5</xdr:rowOff>
              </xdr:from>
              <xdr:to>
                <xdr:col>2</xdr:col>
                <xdr:colOff>-77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<sst xmlns="http://schemas.openxmlformats.org/spreadsheetml/2006/main" count="264" uniqueCount="232">
  <si>
    <t xml:space="preserve">Navyam competition drone: parts to buy</t>
  </si>
  <si>
    <t xml:space="preserve">Stock and prices checked live on 31 Oct 2026 (prices incl. GST). Blue numbers are inputs you can edit; totals recalculate. Green = buy now, amber = buy only after the check in the 'When to buy' column.</t>
  </si>
  <si>
    <t xml:space="preserve">#</t>
  </si>
  <si>
    <t xml:space="preserve">Item</t>
  </si>
  <si>
    <t xml:space="preserve">What it does on the drone</t>
  </si>
  <si>
    <t xml:space="preserve">Qty</t>
  </si>
  <si>
    <t xml:space="preserve">Unit price (₹)</t>
  </si>
  <si>
    <t xml:space="preserve">Line total (₹)</t>
  </si>
  <si>
    <t xml:space="preserve">Shop</t>
  </si>
  <si>
    <t xml:space="preserve">Link</t>
  </si>
  <si>
    <t xml:space="preserve">Stock on 31 Oct 2026</t>
  </si>
  <si>
    <t xml:space="preserve">Key specs (verified)</t>
  </si>
  <si>
    <t xml:space="preserve">Why this part</t>
  </si>
  <si>
    <t xml:space="preserve">When to buy</t>
  </si>
  <si>
    <t xml:space="preserve">SimpliFly MK7 Pro 7" carbon frame</t>
  </si>
  <si>
    <t xml:space="preserve">The airframe: arms, plates, stack mount</t>
  </si>
  <si>
    <t xml:space="preserve">Robu</t>
  </si>
  <si>
    <t xml:space="preserve">https://robu.in/product/simplifly-mk7-pro-7-inch-drone-frame-standard/</t>
  </si>
  <si>
    <t xml:space="preserve">In stock</t>
  </si>
  <si>
    <t xml:space="preserve">Carbon fibre, 5 mm arms, 3 mm plates, 225 g. SimpliFly datasheet (MK7): 335 mm motor-to-motor, 30.5×30.5 mm stack, recommended 2806.5 1350 KV motors, 40–50 A ESC, 7" props. Includes 2 battery straps.</t>
  </si>
  <si>
    <t xml:space="preserve">Stiff carbon (no arm flex = less vibration). Built for exactly our motor/ESC/prop class. Fits the 61 cm launch box: ≤ 335 + 178 mm props + guards ≈ 54 cm.</t>
  </si>
  <si>
    <t xml:space="preserve">Now</t>
  </si>
  <si>
    <t xml:space="preserve">Emax ECO II 2807 1300 KV motor</t>
  </si>
  <si>
    <t xml:space="preserve">Propulsion (4 + 1 spare)</t>
  </si>
  <si>
    <t xml:space="preserve">https://robu.in/product/emax-ecoii-2807-1300kv-brushless-motor/</t>
  </si>
  <si>
    <t xml:space="preserve">6S, 19×19 mm M3 mount, M5 shaft, 47.6 g, max thrust 2,640 g (retailer figure), 12 mm bearing.</t>
  </si>
  <si>
    <t xml:space="preserve">Same 28 mm class the frame is designed for; 19×19 mount like other 2806.5/2807 motors. About 5:1 thrust-to-weight at ~2.0 kg.</t>
  </si>
  <si>
    <t xml:space="preserve">T-Motor V50A 6S 4-in-1 ESC (32-bit)</t>
  </si>
  <si>
    <t xml:space="preserve">Drives the 4 motors</t>
  </si>
  <si>
    <t xml:space="preserve">https://robu.in/product/t-motor-v50a-6s-4in1-32bit-esc-50a/</t>
  </si>
  <si>
    <t xml:space="preserve">50 A continuous / 60 A burst per motor, 3–6S, built-in current sensor, 30.5×30.5 mm M3, 18.5 g.</t>
  </si>
  <si>
    <t xml:space="preserve">Rated above the motor's full-throttle draw, so no software current limit is needed. Matches the frame's 30.5 stack.</t>
  </si>
  <si>
    <t xml:space="preserve">Benewake TF-Luna LiDAR rangefinder</t>
  </si>
  <si>
    <t xml:space="preserve">Measures height above the floor (downward)</t>
  </si>
  <si>
    <t xml:space="preserve">https://robu.in/product/benewake-tf-luna-lidar-distance-sensor/</t>
  </si>
  <si>
    <t xml:space="preserve">0.2–8 m, 1 cm resolution, UART, ≤0.35 W, up to 250 Hz.</t>
  </si>
  <si>
    <t xml:space="preserve">Stable altitude hold indoors. Position comes from the 2D LiDAR SLAM, so optical flow is not needed.</t>
  </si>
  <si>
    <t xml:space="preserve">Jumper AION RX Mini ELRS receiver</t>
  </si>
  <si>
    <t xml:space="preserve">Safety pilot link + failsafe (TX16S)</t>
  </si>
  <si>
    <t xml:space="preserve">https://robu.in/product/jumper-rc-elrs-aion-rx-mini-receiver/</t>
  </si>
  <si>
    <t xml:space="preserve">2.4 GHz ExpressLRS, 16 channels, 3.5–6 V, 1.1 g.</t>
  </si>
  <si>
    <t xml:space="preserve">Proper signal-loss failsafe and enough channels for kill, mode and abort switches.</t>
  </si>
  <si>
    <t xml:space="preserve">After checking the TX16S ELRS version is 3.x</t>
  </si>
  <si>
    <t xml:space="preserve">XH-M404 (XL4016) 8 A buck converter</t>
  </si>
  <si>
    <t xml:space="preserve">Powers the Jetson from 6S (set to 19.0 V)</t>
  </si>
  <si>
    <t xml:space="preserve">https://robu.in/product/xl4016e1-200w-step-down-power-supply-module/</t>
  </si>
  <si>
    <t xml:space="preserve">4–40 V in, 1.25–36 V adjustable out, 8 A max, 200 W max, 94% efficiency.</t>
  </si>
  <si>
    <t xml:space="preserve">Jetson input range is 9–20 V; it draws ~2 A, a quarter of this rating. Second unit is a spare.</t>
  </si>
  <si>
    <t xml:space="preserve">Pro-Range PETG-HS 1.75 mm filament, 1 kg, black</t>
  </si>
  <si>
    <t xml:space="preserve">Printing the deck, mounts, legs and prop guards</t>
  </si>
  <si>
    <t xml:space="preserve">https://robu.in/product/pro-range-petg-hs-175mm-3d-printing-filament-1kg-spool-midnight-black/</t>
  </si>
  <si>
    <t xml:space="preserve">PETG, 1.75 mm, 1 kg spool.</t>
  </si>
  <si>
    <t xml:space="preserve">PETG does not soften near warm motors like PLA does. The printed set is ~250 g, so 1 kg covers reprints.</t>
  </si>
  <si>
    <t xml:space="preserve">Now (skip if the lab supplies PETG)</t>
  </si>
  <si>
    <t xml:space="preserve">7" tri-blade props for 6S, e.g. HQProp 7x4x3 or 7x3.5x3 (2CW+2CCW)</t>
  </si>
  <si>
    <t xml:space="preserve">Propellers (3 sets = 1 + 2 spare)</t>
  </si>
  <si>
    <t xml:space="preserve">Zbotic</t>
  </si>
  <si>
    <t xml:space="preserve">https://zbotic.in/?s=7+inch+propeller&amp;post_type=product</t>
  </si>
  <si>
    <t xml:space="preserve">OUT OF STOCK at Robu, Zbotic and Probots</t>
  </si>
  <si>
    <t xml:space="preserve">Must be 7" (frame spec), 5 mm hole, rated for 6S 2807-class motors. Last Zbotic price for HQProp 7x4x3: ₹369.60/set.</t>
  </si>
  <si>
    <t xml:space="preserve">The frame maker specifies 7". 7.5" (HQProp 7.5x3.7x3, ₹577.50, in stock at Zbotic) is only OK if the measured gap between neighbouring motors is ≥ 207 mm (prop + 2 × guard clearance).</t>
  </si>
  <si>
    <t xml:space="preserve">After measuring the frame; buy whichever size the measurement allows</t>
  </si>
  <si>
    <t xml:space="preserve">Buy now (green rows)</t>
  </si>
  <si>
    <t xml:space="preserve">Buy after a check (amber rows)</t>
  </si>
  <si>
    <t xml:space="preserve">Total parts</t>
  </si>
  <si>
    <t xml:space="preserve">Shipping: Robu delivers free above ₹999. Check Zbotic's shipping at checkout.</t>
  </si>
  <si>
    <t xml:space="preserve">Parts we already own that move to the competition drone (₹0 to buy)</t>
  </si>
  <si>
    <t xml:space="preserve">From BOM / team</t>
  </si>
  <si>
    <t xml:space="preserve">Use on the new drone</t>
  </si>
  <si>
    <t xml:space="preserve">Note</t>
  </si>
  <si>
    <t xml:space="preserve">Pixhawk Cube Orange + carrier</t>
  </si>
  <si>
    <t xml:space="preserve">BOM line 1</t>
  </si>
  <si>
    <t xml:space="preserve">Flight controller</t>
  </si>
  <si>
    <t xml:space="preserve">Confirm board name in Mission Planner before flashing (Cube Orange vs Orange+).</t>
  </si>
  <si>
    <t xml:space="preserve">NVIDIA Jetson Orin Nano Super Dev Kit (8 GB)</t>
  </si>
  <si>
    <t xml:space="preserve">BOM line 5</t>
  </si>
  <si>
    <t xml:space="preserve">Onboard computer: SLAM, navigation, survivor detection</t>
  </si>
  <si>
    <t xml:space="preserve">Input 9–20 V DC jack; we feed 19 V from the buck converter.</t>
  </si>
  <si>
    <t xml:space="preserve">Intel RealSense D435i</t>
  </si>
  <si>
    <t xml:space="preserve">BOM line 15</t>
  </si>
  <si>
    <t xml:space="preserve">Survivor detection + low-obstacle depth</t>
  </si>
  <si>
    <t xml:space="preserve">Front mount tilted 20–25° down (printed).</t>
  </si>
  <si>
    <t xml:space="preserve">LDROBOT D500 LiDAR</t>
  </si>
  <si>
    <t xml:space="preserve">BOM line 48</t>
  </si>
  <si>
    <t xml:space="preserve">2D SLAM: position and the map</t>
  </si>
  <si>
    <t xml:space="preserve">On a printed mast above the props.</t>
  </si>
  <si>
    <t xml:space="preserve">GenX 6S 5200 mAh 40C LiPo ×2</t>
  </si>
  <si>
    <t xml:space="preserve">BOM line 3</t>
  </si>
  <si>
    <t xml:space="preserve">Flight battery</t>
  </si>
  <si>
    <t xml:space="preserve">~650–726 g. Strapped with the frame's included straps.</t>
  </si>
  <si>
    <t xml:space="preserve">APM/Pixhawk power module, 90 A, 28 V</t>
  </si>
  <si>
    <t xml:space="preserve">BOM line 36</t>
  </si>
  <si>
    <t xml:space="preserve">Battery voltage/current to the Cube</t>
  </si>
  <si>
    <t xml:space="preserve">Rated for 6S.</t>
  </si>
  <si>
    <t xml:space="preserve">3DR mini telemetry radio</t>
  </si>
  <si>
    <t xml:space="preserve">BOM line 26</t>
  </si>
  <si>
    <t xml:space="preserve">MAVLink to Mission Planner</t>
  </si>
  <si>
    <t xml:space="preserve">RadioMaster TX16S MKII ELRS</t>
  </si>
  <si>
    <t xml:space="preserve">BOM line 38</t>
  </si>
  <si>
    <t xml:space="preserve">Safety pilot transmitter</t>
  </si>
  <si>
    <t xml:space="preserve">Pairs with the new ELRS receiver.</t>
  </si>
  <si>
    <t xml:space="preserve">Samsung T7 1 TB SSD</t>
  </si>
  <si>
    <t xml:space="preserve">BOM line 19</t>
  </si>
  <si>
    <t xml:space="preserve">Jetson boot drive for now</t>
  </si>
  <si>
    <t xml:space="preserve">NVMe drives were out of stock on Robu.</t>
  </si>
  <si>
    <t xml:space="preserve">DC barrel pigtail for the Jetson</t>
  </si>
  <si>
    <t xml:space="preserve">On current drone</t>
  </si>
  <si>
    <t xml:space="preserve">Buck converter → Jetson DC jack</t>
  </si>
  <si>
    <t xml:space="preserve">Reuse the one already on the drone.</t>
  </si>
  <si>
    <t xml:space="preserve">XT60 connectors, silicone wire, M3 screws/nuts, soldering kit</t>
  </si>
  <si>
    <t xml:space="preserve">BOM lines 7–10, 31–35, 39–41</t>
  </si>
  <si>
    <t xml:space="preserve">Wiring and assembly</t>
  </si>
  <si>
    <t xml:space="preserve">How each part was matched to the others</t>
  </si>
  <si>
    <t xml:space="preserve">Check</t>
  </si>
  <si>
    <t xml:space="preserve">Requirement</t>
  </si>
  <si>
    <t xml:space="preserve">Our part</t>
  </si>
  <si>
    <t xml:space="preserve">Result</t>
  </si>
  <si>
    <t xml:space="preserve">Source</t>
  </si>
  <si>
    <t xml:space="preserve">Launch box</t>
  </si>
  <si>
    <t xml:space="preserve">Whole drone inside 610 × 610 mm</t>
  </si>
  <si>
    <t xml:space="preserve">Max width ≤ motor-to-motor 335 mm + prop 178 mm + guards ≈ 540 mm</t>
  </si>
  <si>
    <t xml:space="preserve">PASS</t>
  </si>
  <si>
    <t xml:space="preserve">NIDAR brief §9; SimpliFly MK7 datasheet</t>
  </si>
  <si>
    <t xml:space="preserve">Corridor</t>
  </si>
  <si>
    <t xml:space="preserve">Safe in 1 m wide corridors</t>
  </si>
  <si>
    <t xml:space="preserve">≈ 23 cm clearance each side</t>
  </si>
  <si>
    <t xml:space="preserve">NIDAR brief §3</t>
  </si>
  <si>
    <t xml:space="preserve">Motor class</t>
  </si>
  <si>
    <t xml:space="preserve">Frame designed for 2806.5 1350 KV</t>
  </si>
  <si>
    <t xml:space="preserve">Emax 2807 1300 KV (same 28 mm class)</t>
  </si>
  <si>
    <t xml:space="preserve">SimpliFly MK7 datasheet</t>
  </si>
  <si>
    <t xml:space="preserve">Motor mount</t>
  </si>
  <si>
    <t xml:space="preserve">Frame arm holes for 28xx motors</t>
  </si>
  <si>
    <t xml:space="preserve">19×19 mm M3</t>
  </si>
  <si>
    <t xml:space="preserve">CHECK</t>
  </si>
  <si>
    <t xml:space="preserve">Datasheet drawing has no hole spacing: fit one motor on arrival</t>
  </si>
  <si>
    <t xml:space="preserve">ESC current</t>
  </si>
  <si>
    <t xml:space="preserve">≥ motor draw; HGLRC/Emax class wants &gt; 45 A</t>
  </si>
  <si>
    <t xml:space="preserve">V50A: 50 A cont / 60 A burst</t>
  </si>
  <si>
    <t xml:space="preserve">Robu V50A listing</t>
  </si>
  <si>
    <t xml:space="preserve">ESC mount</t>
  </si>
  <si>
    <t xml:space="preserve">30.5 × 30.5 mm stack</t>
  </si>
  <si>
    <t xml:space="preserve">V50A: 30.5 × 30.5 mm M3</t>
  </si>
  <si>
    <t xml:space="preserve">SimpliFly datasheet; T-Motor V50A listings</t>
  </si>
  <si>
    <t xml:space="preserve">Battery voltage</t>
  </si>
  <si>
    <t xml:space="preserve">6S on motors, ESC, power module</t>
  </si>
  <si>
    <t xml:space="preserve">Motors 6S, ESC 3–6S, power module ≤ 28 V</t>
  </si>
  <si>
    <t xml:space="preserve">Listings</t>
  </si>
  <si>
    <t xml:space="preserve">Props</t>
  </si>
  <si>
    <t xml:space="preserve">Frame spec 7"; 5 mm hole; 6S-rated</t>
  </si>
  <si>
    <t xml:space="preserve">7" tri-blade (to buy when in stock)</t>
  </si>
  <si>
    <t xml:space="preserve">Out of stock on 31 Oct 2026</t>
  </si>
  <si>
    <t xml:space="preserve">Jetson power</t>
  </si>
  <si>
    <t xml:space="preserve">9–20 V DC jack, ~25 W</t>
  </si>
  <si>
    <t xml:space="preserve">Buck set to 19.0 V, 8 A max</t>
  </si>
  <si>
    <t xml:space="preserve">NVIDIA carrier board spec / forum</t>
  </si>
  <si>
    <t xml:space="preserve">Thrust</t>
  </si>
  <si>
    <t xml:space="preserve">Thrust-to-weight ≥ 2</t>
  </si>
  <si>
    <t xml:space="preserve">≈ 2.0 kg all-up vs 4 × ~2.6 kg max</t>
  </si>
  <si>
    <t xml:space="preserve">Retailer thrust figure; weight estimate (weigh after build)</t>
  </si>
  <si>
    <t xml:space="preserve">RC link</t>
  </si>
  <si>
    <t xml:space="preserve">ELRS major version must match</t>
  </si>
  <si>
    <t xml:space="preserve">TX16S module ↔ AION RX Mini</t>
  </si>
  <si>
    <t xml:space="preserve">Check TX16S ELRS version before binding</t>
  </si>
  <si>
    <t xml:space="preserve">Prop guards</t>
  </si>
  <si>
    <t xml:space="preserve">Mandatory full guards</t>
  </si>
  <si>
    <t xml:space="preserve">3D-printed PETG (designed in repo hardware/)</t>
  </si>
  <si>
    <t xml:space="preserve">TO DO</t>
  </si>
  <si>
    <t xml:space="preserve">NIDAR brief §2</t>
  </si>
  <si>
    <t xml:space="preserve">Do these in order</t>
  </si>
  <si>
    <t xml:space="preserve">Step</t>
  </si>
  <si>
    <t xml:space="preserve">When</t>
  </si>
  <si>
    <t xml:space="preserve">What to do</t>
  </si>
  <si>
    <t xml:space="preserve">Done (✓)</t>
  </si>
  <si>
    <t xml:space="preserve">Before ordering</t>
  </si>
  <si>
    <t xml:space="preserve">Check the TX16S ELRS firmware version (Model setup → ExpressLRS Lua script). It must be 3.x to match the AION RX Mini.</t>
  </si>
  <si>
    <t xml:space="preserve">Order</t>
  </si>
  <si>
    <t xml:space="preserve">Order all green rows on the Buy List from Robu (one order, free shipping above ₹999).</t>
  </si>
  <si>
    <t xml:space="preserve">Frame arrives</t>
  </si>
  <si>
    <t xml:space="preserve">Fit one Emax motor on one arm with M3×8 screws. Confirm 19×19 holes line up. Do NOT open the other motors until this passes.</t>
  </si>
  <si>
    <t xml:space="preserve">Fill in the 'Frame Measurements' sheet with a ruler or calipers. Send it to Claude to finalise the printed parts.</t>
  </si>
  <si>
    <t xml:space="preserve">From the measured gap between neighbouring motors, decide the prop size: 7" always works; 7.5" only if the gap ≥ 207 mm.</t>
  </si>
  <si>
    <t xml:space="preserve">Order 3 sets of the chosen props (7" tri-blade 6S, 5 mm hole).</t>
  </si>
  <si>
    <t xml:space="preserve">Print</t>
  </si>
  <si>
    <t xml:space="preserve">Print the parts in PETG: 3 walls, 30% infill. Weigh the full printed set (target ≤ 250 g).</t>
  </si>
  <si>
    <t xml:space="preserve">Bench</t>
  </si>
  <si>
    <t xml:space="preserve">Set the buck converter to 19.0 V with a multimeter BEFORE connecting the Jetson. Run the Jetson in MAXN mode for 30 min and check the converter stays cool.</t>
  </si>
  <si>
    <t xml:space="preserve">Props OFF: ESC/motor direction test, RC failsafe test, battery failsafe test in Mission Planner.</t>
  </si>
  <si>
    <t xml:space="preserve">First flight</t>
  </si>
  <si>
    <t xml:space="preserve">Weigh the complete drone with battery and update the thrust check.</t>
  </si>
  <si>
    <t xml:space="preserve">Measure the MK7 Pro when it arrives (millimetres)</t>
  </si>
  <si>
    <t xml:space="preserve">Fill the yellow cells. Example values shown in the last column are what we assumed in the design.</t>
  </si>
  <si>
    <t xml:space="preserve">Measurement</t>
  </si>
  <si>
    <t xml:space="preserve">How to measure</t>
  </si>
  <si>
    <t xml:space="preserve">Your value (mm)</t>
  </si>
  <si>
    <t xml:space="preserve">Design assumption (mm)</t>
  </si>
  <si>
    <t xml:space="preserve">Front-left to front-right motor centre</t>
  </si>
  <si>
    <t xml:space="preserve">Centre of motor shaft hole to centre of the other, across the front</t>
  </si>
  <si>
    <t xml:space="preserve">Front-left to rear-left motor centre</t>
  </si>
  <si>
    <t xml:space="preserve">Same, along the left side</t>
  </si>
  <si>
    <t xml:space="preserve">Diagonal motor-to-motor</t>
  </si>
  <si>
    <t xml:space="preserve">Front-left to rear-right (datasheet says 335)</t>
  </si>
  <si>
    <t xml:space="preserve">Arm width at motor pad</t>
  </si>
  <si>
    <t xml:space="preserve">Across the arm where the motor sits</t>
  </si>
  <si>
    <t xml:space="preserve">Motor hole spacing on arm</t>
  </si>
  <si>
    <t xml:space="preserve">Between two opposite M3 holes on one arm pad</t>
  </si>
  <si>
    <t xml:space="preserve">Top plate length</t>
  </si>
  <si>
    <t xml:space="preserve">Front to back of the top carbon plate</t>
  </si>
  <si>
    <t xml:space="preserve">Top plate width</t>
  </si>
  <si>
    <t xml:space="preserve">Left to right</t>
  </si>
  <si>
    <t xml:space="preserve">Top plate M3 hole positions</t>
  </si>
  <si>
    <t xml:space="preserve">Distance between the 4 outermost holes (length × width)</t>
  </si>
  <si>
    <t xml:space="preserve">120 × 30</t>
  </si>
  <si>
    <t xml:space="preserve">Height: bottom plate to top plate</t>
  </si>
  <si>
    <t xml:space="preserve">Outside to outside</t>
  </si>
  <si>
    <t xml:space="preserve">Options considered and rejected</t>
  </si>
  <si>
    <t xml:space="preserve">Price seen (₹)</t>
  </si>
  <si>
    <t xml:space="preserve">Why not</t>
  </si>
  <si>
    <t xml:space="preserve">Tarot TL65B01 650 mm frame (team proposal)</t>
  </si>
  <si>
    <t xml:space="preserve">650 mm motor spacing + props ≈ 98 cm wide: does not fit the 61 cm launch box.</t>
  </si>
  <si>
    <t xml:space="preserve">5 × Hobbywing XRotor 40A ESC (team proposal)</t>
  </si>
  <si>
    <t xml:space="preserve">We already own 4 Holybro 40 A ESCs + a 4-in-1; and the new build uses one 4-in-1.</t>
  </si>
  <si>
    <t xml:space="preserve">Pro-Range 4S 5200 mAh battery (team proposal)</t>
  </si>
  <si>
    <t xml:space="preserve">Our motors are 6S; 4S would give ~45% of the thrust. We own two 6S 5200 packs.</t>
  </si>
  <si>
    <t xml:space="preserve">SimpliFly F450 / S500 frames</t>
  </si>
  <si>
    <t xml:space="preserve">Nylon arms flex (vibration) and motor holes don't match 19×19 motors without drilling.</t>
  </si>
  <si>
    <t xml:space="preserve">JHEMCU 40 A 4-in-1 (owned) on the new motors</t>
  </si>
  <si>
    <t xml:space="preserve">Below the 2807's full-throttle draw; would need a software current cap.</t>
  </si>
  <si>
    <t xml:space="preserve">MicoAir MTF-01 / Holybro H-Flow optical flow</t>
  </si>
  <si>
    <t xml:space="preserve">Not in stock / very expensive; LiDAR SLAM + TF-Luna cover position and height.</t>
  </si>
  <si>
    <t xml:space="preserve">NVMe SSD for the Jetson</t>
  </si>
  <si>
    <t xml:space="preserve">Out of stock on Robu; boot from the owned Samsung T7 for now.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</si>
</sst>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;&quot;(₹&quot;#,##0.00\);\-"/>
    <numFmt numFmtId="166" formatCode="\₹#,##0;&quot;(₹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DFF3E8"/>
        <bgColor rgb="FFCCFFFF"/>
      </patternFill>
    </fill>
    <fill>
      <patternFill patternType="solid">
        <fgColor rgb="FFFDF0D5"/>
        <bgColor rgb="FFFDE4E1"/>
      </patternFill>
    </fill>
    <fill>
      <patternFill patternType="solid">
        <fgColor rgb="FFFDE4E1"/>
        <bgColor rgb="FFFDF0D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8"/>
      </left>
      <right style="thin">
        <color rgb="FFC9D1D8"/>
      </right>
      <top style="thin">
        <color rgb="FFC9D1D8"/>
      </top>
      <bottom style="thin">
        <color rgb="FFC9D1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D5"/>
      <rgbColor rgb="FFDFF3E8"/>
      <rgbColor rgb="FF660066"/>
      <rgbColor rgb="FFFF8080"/>
      <rgbColor rgb="FF0563C1"/>
      <rgbColor rgb="FFC9D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4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obu.in/product/simplifly-mk7-pro-7-inch-drone-frame-standard/" TargetMode="External"/><Relationship Id="rId3" Type="http://schemas.openxmlformats.org/officeDocument/2006/relationships/hyperlink" Target="https://robu.in/product/emax-ecoii-2807-1300kv-brushless-motor/" TargetMode="External"/><Relationship Id="rId4" Type="http://schemas.openxmlformats.org/officeDocument/2006/relationships/hyperlink" Target="https://robu.in/product/t-motor-v50a-6s-4in1-32bit-esc-50a/" TargetMode="External"/><Relationship Id="rId5" Type="http://schemas.openxmlformats.org/officeDocument/2006/relationships/hyperlink" Target="https://robu.in/product/benewake-tf-luna-lidar-distance-sensor/" TargetMode="External"/><Relationship Id="rId6" Type="http://schemas.openxmlformats.org/officeDocument/2006/relationships/hyperlink" Target="https://robu.in/product/jumper-rc-elrs-aion-rx-mini-receiver/" TargetMode="External"/><Relationship Id="rId7" Type="http://schemas.openxmlformats.org/officeDocument/2006/relationships/hyperlink" Target="https://robu.in/product/xl4016e1-200w-step-down-power-supply-module/" TargetMode="External"/><Relationship Id="rId8" Type="http://schemas.openxmlformats.org/officeDocument/2006/relationships/hyperlink" Target="https://robu.in/product/pro-range-petg-hs-175mm-3d-printing-filament-1kg-spool-midnight-black/" TargetMode="External"/><Relationship Id="rId9" Type="http://schemas.openxmlformats.org/officeDocument/2006/relationships/hyperlink" Target="https://zbotic.in/?s=7+inch+propeller&amp;post_type=product" TargetMode="External"/><Relationship Id="rId1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0"/>
    <col collapsed="false" customWidth="true" hidden="false" outlineLevel="0" max="4" min="4" style="0" width="6"/>
    <col collapsed="false" customWidth="true" hidden="false" outlineLevel="0" max="6" min="5" style="0" width="13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1" min="10" style="0" width="44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91.5" hidden="false" customHeight="true" outlineLevel="0" collapsed="false">
      <c r="A5" s="4" t="n">
        <v>1</v>
      </c>
      <c r="B5" s="4" t="s">
        <v>14</v>
      </c>
      <c r="C5" s="4" t="s">
        <v>15</v>
      </c>
      <c r="D5" s="5" t="n">
        <v>1</v>
      </c>
      <c r="E5" s="6" t="n">
        <v>5719</v>
      </c>
      <c r="F5" s="7" t="n">
        <f aca="false">D5*E5</f>
        <v>5719</v>
      </c>
      <c r="G5" s="4" t="s">
        <v>16</v>
      </c>
      <c r="H5" s="8" t="s">
        <v>17</v>
      </c>
      <c r="I5" s="4" t="s">
        <v>18</v>
      </c>
      <c r="J5" s="4" t="s">
        <v>19</v>
      </c>
      <c r="K5" s="4" t="s">
        <v>20</v>
      </c>
      <c r="L5" s="4" t="s">
        <v>21</v>
      </c>
    </row>
    <row r="6" customFormat="false" ht="91.5" hidden="false" customHeight="true" outlineLevel="0" collapsed="false">
      <c r="A6" s="4" t="n">
        <v>2</v>
      </c>
      <c r="B6" s="4" t="s">
        <v>22</v>
      </c>
      <c r="C6" s="4" t="s">
        <v>23</v>
      </c>
      <c r="D6" s="5" t="n">
        <v>5</v>
      </c>
      <c r="E6" s="6" t="n">
        <v>2259</v>
      </c>
      <c r="F6" s="7" t="n">
        <f aca="false">D6*E6</f>
        <v>11295</v>
      </c>
      <c r="G6" s="4" t="s">
        <v>16</v>
      </c>
      <c r="H6" s="8" t="s">
        <v>24</v>
      </c>
      <c r="I6" s="4" t="s">
        <v>18</v>
      </c>
      <c r="J6" s="4" t="s">
        <v>25</v>
      </c>
      <c r="K6" s="4" t="s">
        <v>26</v>
      </c>
      <c r="L6" s="4" t="s">
        <v>21</v>
      </c>
    </row>
    <row r="7" customFormat="false" ht="91.5" hidden="false" customHeight="true" outlineLevel="0" collapsed="false">
      <c r="A7" s="4" t="n">
        <v>3</v>
      </c>
      <c r="B7" s="4" t="s">
        <v>27</v>
      </c>
      <c r="C7" s="4" t="s">
        <v>28</v>
      </c>
      <c r="D7" s="5" t="n">
        <v>1</v>
      </c>
      <c r="E7" s="6" t="n">
        <v>8479</v>
      </c>
      <c r="F7" s="7" t="n">
        <f aca="false">D7*E7</f>
        <v>8479</v>
      </c>
      <c r="G7" s="4" t="s">
        <v>16</v>
      </c>
      <c r="H7" s="8" t="s">
        <v>29</v>
      </c>
      <c r="I7" s="4" t="s">
        <v>18</v>
      </c>
      <c r="J7" s="4" t="s">
        <v>30</v>
      </c>
      <c r="K7" s="4" t="s">
        <v>31</v>
      </c>
      <c r="L7" s="4" t="s">
        <v>21</v>
      </c>
    </row>
    <row r="8" customFormat="false" ht="91.5" hidden="false" customHeight="true" outlineLevel="0" collapsed="false">
      <c r="A8" s="4" t="n">
        <v>4</v>
      </c>
      <c r="B8" s="4" t="s">
        <v>32</v>
      </c>
      <c r="C8" s="4" t="s">
        <v>33</v>
      </c>
      <c r="D8" s="5" t="n">
        <v>1</v>
      </c>
      <c r="E8" s="6" t="n">
        <v>2589</v>
      </c>
      <c r="F8" s="7" t="n">
        <f aca="false">D8*E8</f>
        <v>2589</v>
      </c>
      <c r="G8" s="4" t="s">
        <v>16</v>
      </c>
      <c r="H8" s="8" t="s">
        <v>34</v>
      </c>
      <c r="I8" s="4" t="s">
        <v>18</v>
      </c>
      <c r="J8" s="4" t="s">
        <v>35</v>
      </c>
      <c r="K8" s="4" t="s">
        <v>36</v>
      </c>
      <c r="L8" s="4" t="s">
        <v>21</v>
      </c>
    </row>
    <row r="9" customFormat="false" ht="91.5" hidden="false" customHeight="true" outlineLevel="0" collapsed="false">
      <c r="A9" s="9" t="n">
        <v>5</v>
      </c>
      <c r="B9" s="9" t="s">
        <v>37</v>
      </c>
      <c r="C9" s="9" t="s">
        <v>38</v>
      </c>
      <c r="D9" s="10" t="n">
        <v>1</v>
      </c>
      <c r="E9" s="11" t="n">
        <v>1999</v>
      </c>
      <c r="F9" s="12" t="n">
        <f aca="false">D9*E9</f>
        <v>1999</v>
      </c>
      <c r="G9" s="9" t="s">
        <v>16</v>
      </c>
      <c r="H9" s="13" t="s">
        <v>39</v>
      </c>
      <c r="I9" s="9" t="s">
        <v>18</v>
      </c>
      <c r="J9" s="9" t="s">
        <v>40</v>
      </c>
      <c r="K9" s="9" t="s">
        <v>41</v>
      </c>
      <c r="L9" s="9" t="s">
        <v>42</v>
      </c>
    </row>
    <row r="10" customFormat="false" ht="91.5" hidden="false" customHeight="true" outlineLevel="0" collapsed="false">
      <c r="A10" s="4" t="n">
        <v>6</v>
      </c>
      <c r="B10" s="4" t="s">
        <v>43</v>
      </c>
      <c r="C10" s="4" t="s">
        <v>44</v>
      </c>
      <c r="D10" s="5" t="n">
        <v>2</v>
      </c>
      <c r="E10" s="6" t="n">
        <v>239</v>
      </c>
      <c r="F10" s="7" t="n">
        <f aca="false">D10*E10</f>
        <v>478</v>
      </c>
      <c r="G10" s="4" t="s">
        <v>16</v>
      </c>
      <c r="H10" s="8" t="s">
        <v>45</v>
      </c>
      <c r="I10" s="4" t="s">
        <v>18</v>
      </c>
      <c r="J10" s="4" t="s">
        <v>46</v>
      </c>
      <c r="K10" s="4" t="s">
        <v>47</v>
      </c>
      <c r="L10" s="4" t="s">
        <v>21</v>
      </c>
    </row>
    <row r="11" customFormat="false" ht="91.5" hidden="false" customHeight="true" outlineLevel="0" collapsed="false">
      <c r="A11" s="4" t="n">
        <v>7</v>
      </c>
      <c r="B11" s="4" t="s">
        <v>48</v>
      </c>
      <c r="C11" s="4" t="s">
        <v>49</v>
      </c>
      <c r="D11" s="5" t="n">
        <v>1</v>
      </c>
      <c r="E11" s="6" t="n">
        <v>780</v>
      </c>
      <c r="F11" s="7" t="n">
        <f aca="false">D11*E11</f>
        <v>780</v>
      </c>
      <c r="G11" s="4" t="s">
        <v>16</v>
      </c>
      <c r="H11" s="8" t="s">
        <v>50</v>
      </c>
      <c r="I11" s="4" t="s">
        <v>18</v>
      </c>
      <c r="J11" s="4" t="s">
        <v>51</v>
      </c>
      <c r="K11" s="4" t="s">
        <v>52</v>
      </c>
      <c r="L11" s="4" t="s">
        <v>53</v>
      </c>
    </row>
    <row r="12" customFormat="false" ht="91.5" hidden="false" customHeight="true" outlineLevel="0" collapsed="false">
      <c r="A12" s="9" t="n">
        <v>8</v>
      </c>
      <c r="B12" s="9" t="s">
        <v>54</v>
      </c>
      <c r="C12" s="9" t="s">
        <v>55</v>
      </c>
      <c r="D12" s="10" t="n">
        <v>3</v>
      </c>
      <c r="E12" s="11" t="n">
        <v>370</v>
      </c>
      <c r="F12" s="12" t="n">
        <f aca="false">D12*E12</f>
        <v>1110</v>
      </c>
      <c r="G12" s="9" t="s">
        <v>56</v>
      </c>
      <c r="H12" s="13" t="s">
        <v>57</v>
      </c>
      <c r="I12" s="14" t="s">
        <v>58</v>
      </c>
      <c r="J12" s="9" t="s">
        <v>59</v>
      </c>
      <c r="K12" s="9" t="s">
        <v>60</v>
      </c>
      <c r="L12" s="9" t="s">
        <v>61</v>
      </c>
    </row>
    <row r="14" customFormat="false" ht="15" hidden="false" customHeight="false" outlineLevel="0" collapsed="false">
      <c r="E14" s="15" t="s">
        <v>62</v>
      </c>
      <c r="F14" s="16" t="n">
        <f aca="false">SUMIFS(F5:F12,L5:L12,"Now*")</f>
        <v>29340</v>
      </c>
    </row>
    <row r="15" customFormat="false" ht="15" hidden="false" customHeight="false" outlineLevel="0" collapsed="false">
      <c r="E15" s="15" t="s">
        <v>63</v>
      </c>
      <c r="F15" s="16" t="n">
        <f aca="false">SUM(F5:F12)-F14</f>
        <v>3109</v>
      </c>
    </row>
    <row r="16" customFormat="false" ht="15" hidden="false" customHeight="false" outlineLevel="0" collapsed="false">
      <c r="E16" s="15" t="s">
        <v>64</v>
      </c>
      <c r="F16" s="16" t="n">
        <f aca="false">F14+F15</f>
        <v>32449</v>
      </c>
    </row>
    <row r="17" customFormat="false" ht="15" hidden="false" customHeight="false" outlineLevel="0" collapsed="false">
      <c r="B17" s="17" t="s">
        <v>65</v>
      </c>
    </row>
  </sheetData>
  <mergeCells count="1">
    <mergeCell ref="A2:L2"/>
  </mergeCells>
  <hyperlinks>
    <hyperlink ref="H5" r:id="rId2" display="https://robu.in/product/simplifly-mk7-pro-7-inch-drone-frame-standard/"/>
    <hyperlink ref="H6" r:id="rId3" display="https://robu.in/product/emax-ecoii-2807-1300kv-brushless-motor/"/>
    <hyperlink ref="H7" r:id="rId4" display="https://robu.in/product/t-motor-v50a-6s-4in1-32bit-esc-50a/"/>
    <hyperlink ref="H8" r:id="rId5" display="https://robu.in/product/benewake-tf-luna-lidar-distance-sensor/"/>
    <hyperlink ref="H9" r:id="rId6" display="https://robu.in/product/jumper-rc-elrs-aion-rx-mini-receiver/"/>
    <hyperlink ref="H10" r:id="rId7" display="https://robu.in/product/xl4016e1-200w-step-down-power-supply-module/"/>
    <hyperlink ref="H11" r:id="rId8" display="https://robu.in/product/pro-range-petg-hs-175mm-3d-printing-filament-1kg-spool-midnight-black/"/>
    <hyperlink ref="H12" r:id="rId9" display="https://zbotic.in/?s=7+inch+propeller&amp;post_type=produ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66</v>
      </c>
    </row>
    <row r="3" customFormat="false" ht="30" hidden="false" customHeight="true" outlineLevel="0" collapsed="false">
      <c r="A3" s="3" t="s">
        <v>3</v>
      </c>
      <c r="B3" s="3" t="s">
        <v>67</v>
      </c>
      <c r="C3" s="3" t="s">
        <v>68</v>
      </c>
      <c r="D3" s="3" t="s">
        <v>69</v>
      </c>
    </row>
    <row r="4" customFormat="false" ht="24" hidden="false" customHeight="false" outlineLevel="0" collapsed="false">
      <c r="A4" s="18" t="s">
        <v>70</v>
      </c>
      <c r="B4" s="18" t="s">
        <v>71</v>
      </c>
      <c r="C4" s="18" t="s">
        <v>72</v>
      </c>
      <c r="D4" s="18" t="s">
        <v>73</v>
      </c>
    </row>
    <row r="5" customFormat="false" ht="24" hidden="false" customHeight="false" outlineLevel="0" collapsed="false">
      <c r="A5" s="18" t="s">
        <v>74</v>
      </c>
      <c r="B5" s="18" t="s">
        <v>75</v>
      </c>
      <c r="C5" s="18" t="s">
        <v>76</v>
      </c>
      <c r="D5" s="18" t="s">
        <v>77</v>
      </c>
    </row>
    <row r="6" customFormat="false" ht="15" hidden="false" customHeight="false" outlineLevel="0" collapsed="false">
      <c r="A6" s="18" t="s">
        <v>78</v>
      </c>
      <c r="B6" s="18" t="s">
        <v>79</v>
      </c>
      <c r="C6" s="18" t="s">
        <v>80</v>
      </c>
      <c r="D6" s="18" t="s">
        <v>81</v>
      </c>
    </row>
    <row r="7" customFormat="false" ht="15" hidden="false" customHeight="false" outlineLevel="0" collapsed="false">
      <c r="A7" s="18" t="s">
        <v>82</v>
      </c>
      <c r="B7" s="18" t="s">
        <v>83</v>
      </c>
      <c r="C7" s="18" t="s">
        <v>84</v>
      </c>
      <c r="D7" s="18" t="s">
        <v>85</v>
      </c>
    </row>
    <row r="8" customFormat="false" ht="15" hidden="false" customHeight="false" outlineLevel="0" collapsed="false">
      <c r="A8" s="18" t="s">
        <v>86</v>
      </c>
      <c r="B8" s="18" t="s">
        <v>87</v>
      </c>
      <c r="C8" s="18" t="s">
        <v>88</v>
      </c>
      <c r="D8" s="18" t="s">
        <v>89</v>
      </c>
    </row>
    <row r="9" customFormat="false" ht="15" hidden="false" customHeight="false" outlineLevel="0" collapsed="false">
      <c r="A9" s="18" t="s">
        <v>90</v>
      </c>
      <c r="B9" s="18" t="s">
        <v>91</v>
      </c>
      <c r="C9" s="18" t="s">
        <v>92</v>
      </c>
      <c r="D9" s="18" t="s">
        <v>93</v>
      </c>
    </row>
    <row r="10" customFormat="false" ht="15" hidden="false" customHeight="false" outlineLevel="0" collapsed="false">
      <c r="A10" s="18" t="s">
        <v>94</v>
      </c>
      <c r="B10" s="18" t="s">
        <v>95</v>
      </c>
      <c r="C10" s="18" t="s">
        <v>96</v>
      </c>
      <c r="D10" s="18"/>
    </row>
    <row r="11" customFormat="false" ht="15" hidden="false" customHeight="false" outlineLevel="0" collapsed="false">
      <c r="A11" s="18" t="s">
        <v>97</v>
      </c>
      <c r="B11" s="18" t="s">
        <v>98</v>
      </c>
      <c r="C11" s="18" t="s">
        <v>99</v>
      </c>
      <c r="D11" s="18" t="s">
        <v>100</v>
      </c>
    </row>
    <row r="12" customFormat="false" ht="15" hidden="false" customHeight="false" outlineLevel="0" collapsed="false">
      <c r="A12" s="18" t="s">
        <v>101</v>
      </c>
      <c r="B12" s="18" t="s">
        <v>102</v>
      </c>
      <c r="C12" s="18" t="s">
        <v>103</v>
      </c>
      <c r="D12" s="18" t="s">
        <v>104</v>
      </c>
    </row>
    <row r="13" customFormat="false" ht="15" hidden="false" customHeight="false" outlineLevel="0" collapsed="false">
      <c r="A13" s="18" t="s">
        <v>105</v>
      </c>
      <c r="B13" s="18" t="s">
        <v>106</v>
      </c>
      <c r="C13" s="18" t="s">
        <v>107</v>
      </c>
      <c r="D13" s="18" t="s">
        <v>108</v>
      </c>
    </row>
    <row r="14" customFormat="false" ht="24" hidden="false" customHeight="false" outlineLevel="0" collapsed="false">
      <c r="A14" s="18" t="s">
        <v>109</v>
      </c>
      <c r="B14" s="18" t="s">
        <v>110</v>
      </c>
      <c r="C14" s="18" t="s">
        <v>111</v>
      </c>
      <c r="D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112</v>
      </c>
    </row>
    <row r="3" customFormat="false" ht="30" hidden="false" customHeight="true" outlineLevel="0" collapsed="false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</row>
    <row r="4" customFormat="false" ht="24" hidden="false" customHeight="false" outlineLevel="0" collapsed="false">
      <c r="A4" s="18" t="s">
        <v>118</v>
      </c>
      <c r="B4" s="18" t="s">
        <v>119</v>
      </c>
      <c r="C4" s="18" t="s">
        <v>120</v>
      </c>
      <c r="D4" s="19" t="s">
        <v>121</v>
      </c>
      <c r="E4" s="18" t="s">
        <v>122</v>
      </c>
    </row>
    <row r="5" customFormat="false" ht="15" hidden="false" customHeight="false" outlineLevel="0" collapsed="false">
      <c r="A5" s="18" t="s">
        <v>123</v>
      </c>
      <c r="B5" s="18" t="s">
        <v>124</v>
      </c>
      <c r="C5" s="18" t="s">
        <v>125</v>
      </c>
      <c r="D5" s="19" t="s">
        <v>121</v>
      </c>
      <c r="E5" s="18" t="s">
        <v>126</v>
      </c>
    </row>
    <row r="6" customFormat="false" ht="15" hidden="false" customHeight="false" outlineLevel="0" collapsed="false">
      <c r="A6" s="18" t="s">
        <v>127</v>
      </c>
      <c r="B6" s="18" t="s">
        <v>128</v>
      </c>
      <c r="C6" s="18" t="s">
        <v>129</v>
      </c>
      <c r="D6" s="19" t="s">
        <v>121</v>
      </c>
      <c r="E6" s="18" t="s">
        <v>130</v>
      </c>
    </row>
    <row r="7" customFormat="false" ht="24" hidden="false" customHeight="false" outlineLevel="0" collapsed="false">
      <c r="A7" s="18" t="s">
        <v>131</v>
      </c>
      <c r="B7" s="18" t="s">
        <v>132</v>
      </c>
      <c r="C7" s="18" t="s">
        <v>133</v>
      </c>
      <c r="D7" s="20" t="s">
        <v>134</v>
      </c>
      <c r="E7" s="18" t="s">
        <v>135</v>
      </c>
    </row>
    <row r="8" customFormat="false" ht="24" hidden="false" customHeight="false" outlineLevel="0" collapsed="false">
      <c r="A8" s="18" t="s">
        <v>136</v>
      </c>
      <c r="B8" s="18" t="s">
        <v>137</v>
      </c>
      <c r="C8" s="18" t="s">
        <v>138</v>
      </c>
      <c r="D8" s="19" t="s">
        <v>121</v>
      </c>
      <c r="E8" s="18" t="s">
        <v>139</v>
      </c>
    </row>
    <row r="9" customFormat="false" ht="15" hidden="false" customHeight="false" outlineLevel="0" collapsed="false">
      <c r="A9" s="18" t="s">
        <v>140</v>
      </c>
      <c r="B9" s="18" t="s">
        <v>141</v>
      </c>
      <c r="C9" s="18" t="s">
        <v>142</v>
      </c>
      <c r="D9" s="19" t="s">
        <v>121</v>
      </c>
      <c r="E9" s="18" t="s">
        <v>143</v>
      </c>
    </row>
    <row r="10" customFormat="false" ht="15" hidden="false" customHeight="false" outlineLevel="0" collapsed="false">
      <c r="A10" s="18" t="s">
        <v>144</v>
      </c>
      <c r="B10" s="18" t="s">
        <v>145</v>
      </c>
      <c r="C10" s="18" t="s">
        <v>146</v>
      </c>
      <c r="D10" s="19" t="s">
        <v>121</v>
      </c>
      <c r="E10" s="18" t="s">
        <v>147</v>
      </c>
    </row>
    <row r="11" customFormat="false" ht="15" hidden="false" customHeight="false" outlineLevel="0" collapsed="false">
      <c r="A11" s="18" t="s">
        <v>148</v>
      </c>
      <c r="B11" s="18" t="s">
        <v>149</v>
      </c>
      <c r="C11" s="18" t="s">
        <v>150</v>
      </c>
      <c r="D11" s="20" t="s">
        <v>134</v>
      </c>
      <c r="E11" s="18" t="s">
        <v>151</v>
      </c>
    </row>
    <row r="12" customFormat="false" ht="15" hidden="false" customHeight="false" outlineLevel="0" collapsed="false">
      <c r="A12" s="18" t="s">
        <v>152</v>
      </c>
      <c r="B12" s="18" t="s">
        <v>153</v>
      </c>
      <c r="C12" s="18" t="s">
        <v>154</v>
      </c>
      <c r="D12" s="19" t="s">
        <v>121</v>
      </c>
      <c r="E12" s="18" t="s">
        <v>155</v>
      </c>
    </row>
    <row r="13" customFormat="false" ht="15" hidden="false" customHeight="false" outlineLevel="0" collapsed="false">
      <c r="A13" s="18" t="s">
        <v>156</v>
      </c>
      <c r="B13" s="18" t="s">
        <v>157</v>
      </c>
      <c r="C13" s="18" t="s">
        <v>158</v>
      </c>
      <c r="D13" s="19" t="s">
        <v>121</v>
      </c>
      <c r="E13" s="18" t="s">
        <v>159</v>
      </c>
    </row>
    <row r="14" customFormat="false" ht="15" hidden="false" customHeight="false" outlineLevel="0" collapsed="false">
      <c r="A14" s="18" t="s">
        <v>160</v>
      </c>
      <c r="B14" s="18" t="s">
        <v>161</v>
      </c>
      <c r="C14" s="18" t="s">
        <v>162</v>
      </c>
      <c r="D14" s="20" t="s">
        <v>134</v>
      </c>
      <c r="E14" s="18" t="s">
        <v>163</v>
      </c>
    </row>
    <row r="15" customFormat="false" ht="15" hidden="false" customHeight="false" outlineLevel="0" collapsed="false">
      <c r="A15" s="18" t="s">
        <v>164</v>
      </c>
      <c r="B15" s="18" t="s">
        <v>165</v>
      </c>
      <c r="C15" s="18" t="s">
        <v>166</v>
      </c>
      <c r="D15" s="20" t="s">
        <v>167</v>
      </c>
      <c r="E15" s="18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169</v>
      </c>
    </row>
    <row r="3" customFormat="false" ht="30" hidden="false" customHeight="true" outlineLevel="0" collapsed="false">
      <c r="A3" s="3" t="s">
        <v>170</v>
      </c>
      <c r="B3" s="3" t="s">
        <v>171</v>
      </c>
      <c r="C3" s="3" t="s">
        <v>172</v>
      </c>
      <c r="D3" s="3" t="s">
        <v>173</v>
      </c>
    </row>
    <row r="4" customFormat="false" ht="24" hidden="false" customHeight="false" outlineLevel="0" collapsed="false">
      <c r="A4" s="18" t="n">
        <v>1</v>
      </c>
      <c r="B4" s="18" t="s">
        <v>174</v>
      </c>
      <c r="C4" s="18" t="s">
        <v>175</v>
      </c>
      <c r="D4" s="18"/>
    </row>
    <row r="5" customFormat="false" ht="15" hidden="false" customHeight="false" outlineLevel="0" collapsed="false">
      <c r="A5" s="18" t="n">
        <v>2</v>
      </c>
      <c r="B5" s="18" t="s">
        <v>176</v>
      </c>
      <c r="C5" s="18" t="s">
        <v>177</v>
      </c>
      <c r="D5" s="18"/>
    </row>
    <row r="6" customFormat="false" ht="24" hidden="false" customHeight="false" outlineLevel="0" collapsed="false">
      <c r="A6" s="18" t="n">
        <v>3</v>
      </c>
      <c r="B6" s="18" t="s">
        <v>178</v>
      </c>
      <c r="C6" s="18" t="s">
        <v>179</v>
      </c>
      <c r="D6" s="18"/>
    </row>
    <row r="7" customFormat="false" ht="24" hidden="false" customHeight="false" outlineLevel="0" collapsed="false">
      <c r="A7" s="18" t="n">
        <v>4</v>
      </c>
      <c r="B7" s="18" t="s">
        <v>178</v>
      </c>
      <c r="C7" s="18" t="s">
        <v>180</v>
      </c>
      <c r="D7" s="18"/>
    </row>
    <row r="8" customFormat="false" ht="24" hidden="false" customHeight="false" outlineLevel="0" collapsed="false">
      <c r="A8" s="18" t="n">
        <v>5</v>
      </c>
      <c r="B8" s="18" t="s">
        <v>178</v>
      </c>
      <c r="C8" s="18" t="s">
        <v>181</v>
      </c>
      <c r="D8" s="18"/>
    </row>
    <row r="9" customFormat="false" ht="15" hidden="false" customHeight="false" outlineLevel="0" collapsed="false">
      <c r="A9" s="18" t="n">
        <v>6</v>
      </c>
      <c r="B9" s="18" t="s">
        <v>148</v>
      </c>
      <c r="C9" s="18" t="s">
        <v>182</v>
      </c>
      <c r="D9" s="18"/>
    </row>
    <row r="10" customFormat="false" ht="15" hidden="false" customHeight="false" outlineLevel="0" collapsed="false">
      <c r="A10" s="18" t="n">
        <v>7</v>
      </c>
      <c r="B10" s="18" t="s">
        <v>183</v>
      </c>
      <c r="C10" s="18" t="s">
        <v>184</v>
      </c>
      <c r="D10" s="18"/>
    </row>
    <row r="11" customFormat="false" ht="24" hidden="false" customHeight="false" outlineLevel="0" collapsed="false">
      <c r="A11" s="18" t="n">
        <v>8</v>
      </c>
      <c r="B11" s="18" t="s">
        <v>185</v>
      </c>
      <c r="C11" s="18" t="s">
        <v>186</v>
      </c>
      <c r="D11" s="18"/>
    </row>
    <row r="12" customFormat="false" ht="15" hidden="false" customHeight="false" outlineLevel="0" collapsed="false">
      <c r="A12" s="18" t="n">
        <v>9</v>
      </c>
      <c r="B12" s="18" t="s">
        <v>185</v>
      </c>
      <c r="C12" s="18" t="s">
        <v>187</v>
      </c>
      <c r="D12" s="18"/>
    </row>
    <row r="13" customFormat="false" ht="15" hidden="false" customHeight="false" outlineLevel="0" collapsed="false">
      <c r="A13" s="18" t="n">
        <v>10</v>
      </c>
      <c r="B13" s="18" t="s">
        <v>188</v>
      </c>
      <c r="C13" s="18" t="s">
        <v>189</v>
      </c>
      <c r="D13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17" t="s">
        <v>191</v>
      </c>
    </row>
    <row r="3" customFormat="false" ht="30" hidden="false" customHeight="true" outlineLevel="0" collapsed="false">
      <c r="A3" s="3" t="s">
        <v>2</v>
      </c>
      <c r="B3" s="3" t="s">
        <v>192</v>
      </c>
      <c r="C3" s="3" t="s">
        <v>193</v>
      </c>
      <c r="D3" s="3" t="s">
        <v>194</v>
      </c>
      <c r="E3" s="3" t="s">
        <v>195</v>
      </c>
    </row>
    <row r="4" customFormat="false" ht="15" hidden="false" customHeight="false" outlineLevel="0" collapsed="false">
      <c r="A4" s="18" t="n">
        <v>1</v>
      </c>
      <c r="B4" s="18" t="s">
        <v>196</v>
      </c>
      <c r="C4" s="18" t="s">
        <v>197</v>
      </c>
      <c r="D4" s="21"/>
      <c r="E4" s="18" t="n">
        <v>237</v>
      </c>
    </row>
    <row r="5" customFormat="false" ht="15" hidden="false" customHeight="false" outlineLevel="0" collapsed="false">
      <c r="A5" s="18" t="n">
        <v>2</v>
      </c>
      <c r="B5" s="18" t="s">
        <v>198</v>
      </c>
      <c r="C5" s="18" t="s">
        <v>199</v>
      </c>
      <c r="D5" s="21"/>
      <c r="E5" s="18" t="n">
        <v>237</v>
      </c>
    </row>
    <row r="6" customFormat="false" ht="15" hidden="false" customHeight="false" outlineLevel="0" collapsed="false">
      <c r="A6" s="18" t="n">
        <v>3</v>
      </c>
      <c r="B6" s="18" t="s">
        <v>200</v>
      </c>
      <c r="C6" s="18" t="s">
        <v>201</v>
      </c>
      <c r="D6" s="21"/>
      <c r="E6" s="18" t="n">
        <v>335</v>
      </c>
    </row>
    <row r="7" customFormat="false" ht="15" hidden="false" customHeight="false" outlineLevel="0" collapsed="false">
      <c r="A7" s="18" t="n">
        <v>4</v>
      </c>
      <c r="B7" s="18" t="s">
        <v>202</v>
      </c>
      <c r="C7" s="18" t="s">
        <v>203</v>
      </c>
      <c r="D7" s="21"/>
      <c r="E7" s="18" t="n">
        <v>30</v>
      </c>
    </row>
    <row r="8" customFormat="false" ht="15" hidden="false" customHeight="false" outlineLevel="0" collapsed="false">
      <c r="A8" s="18" t="n">
        <v>5</v>
      </c>
      <c r="B8" s="18" t="s">
        <v>204</v>
      </c>
      <c r="C8" s="18" t="s">
        <v>205</v>
      </c>
      <c r="D8" s="21"/>
      <c r="E8" s="18" t="n">
        <v>19</v>
      </c>
    </row>
    <row r="9" customFormat="false" ht="15" hidden="false" customHeight="false" outlineLevel="0" collapsed="false">
      <c r="A9" s="18" t="n">
        <v>6</v>
      </c>
      <c r="B9" s="18" t="s">
        <v>206</v>
      </c>
      <c r="C9" s="18" t="s">
        <v>207</v>
      </c>
      <c r="D9" s="21"/>
      <c r="E9" s="18" t="n">
        <v>150</v>
      </c>
    </row>
    <row r="10" customFormat="false" ht="15" hidden="false" customHeight="false" outlineLevel="0" collapsed="false">
      <c r="A10" s="18" t="n">
        <v>7</v>
      </c>
      <c r="B10" s="18" t="s">
        <v>208</v>
      </c>
      <c r="C10" s="18" t="s">
        <v>209</v>
      </c>
      <c r="D10" s="21"/>
      <c r="E10" s="18" t="n">
        <v>40</v>
      </c>
    </row>
    <row r="11" customFormat="false" ht="15" hidden="false" customHeight="false" outlineLevel="0" collapsed="false">
      <c r="A11" s="18" t="n">
        <v>8</v>
      </c>
      <c r="B11" s="18" t="s">
        <v>210</v>
      </c>
      <c r="C11" s="18" t="s">
        <v>211</v>
      </c>
      <c r="D11" s="21"/>
      <c r="E11" s="18" t="s">
        <v>212</v>
      </c>
    </row>
    <row r="12" customFormat="false" ht="15" hidden="false" customHeight="false" outlineLevel="0" collapsed="false">
      <c r="A12" s="18" t="n">
        <v>9</v>
      </c>
      <c r="B12" s="18" t="s">
        <v>213</v>
      </c>
      <c r="C12" s="18" t="s">
        <v>214</v>
      </c>
      <c r="D12" s="21"/>
      <c r="E12" s="18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215</v>
      </c>
    </row>
    <row r="3" customFormat="false" ht="30" hidden="false" customHeight="true" outlineLevel="0" collapsed="false">
      <c r="A3" s="3" t="s">
        <v>3</v>
      </c>
      <c r="B3" s="3" t="s">
        <v>216</v>
      </c>
      <c r="C3" s="3" t="s">
        <v>217</v>
      </c>
    </row>
    <row r="4" customFormat="false" ht="15" hidden="false" customHeight="false" outlineLevel="0" collapsed="false">
      <c r="A4" s="18" t="s">
        <v>218</v>
      </c>
      <c r="B4" s="22" t="n">
        <v>9799</v>
      </c>
      <c r="C4" s="18" t="s">
        <v>219</v>
      </c>
    </row>
    <row r="5" customFormat="false" ht="15" hidden="false" customHeight="false" outlineLevel="0" collapsed="false">
      <c r="A5" s="18" t="s">
        <v>220</v>
      </c>
      <c r="B5" s="22" t="n">
        <v>13050</v>
      </c>
      <c r="C5" s="18" t="s">
        <v>221</v>
      </c>
    </row>
    <row r="6" customFormat="false" ht="15" hidden="false" customHeight="false" outlineLevel="0" collapsed="false">
      <c r="A6" s="18" t="s">
        <v>222</v>
      </c>
      <c r="B6" s="22" t="n">
        <v>5779</v>
      </c>
      <c r="C6" s="18" t="s">
        <v>223</v>
      </c>
    </row>
    <row r="7" customFormat="false" ht="15" hidden="false" customHeight="false" outlineLevel="0" collapsed="false">
      <c r="A7" s="18" t="s">
        <v>224</v>
      </c>
      <c r="B7" s="22" t="n">
        <v>923</v>
      </c>
      <c r="C7" s="18" t="s">
        <v>225</v>
      </c>
    </row>
    <row r="8" customFormat="false" ht="15" hidden="false" customHeight="false" outlineLevel="0" collapsed="false">
      <c r="A8" s="18" t="s">
        <v>226</v>
      </c>
      <c r="B8" s="22" t="n">
        <v>0</v>
      </c>
      <c r="C8" s="18" t="s">
        <v>227</v>
      </c>
    </row>
    <row r="9" customFormat="false" ht="15" hidden="false" customHeight="false" outlineLevel="0" collapsed="false">
      <c r="A9" s="18" t="s">
        <v>228</v>
      </c>
      <c r="B9" s="22" t="n">
        <v>17999</v>
      </c>
      <c r="C9" s="18" t="s">
        <v>229</v>
      </c>
    </row>
    <row r="10" customFormat="false" ht="15" hidden="false" customHeight="false" outlineLevel="0" collapsed="false">
      <c r="A10" s="18" t="s">
        <v>230</v>
      </c>
      <c r="B10" s="22" t="n">
        <v>3239</v>
      </c>
      <c r="C10" s="18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2026-10-30T19:41:51Z</dcterms:created>
  <dc:creator>openpyxl</dc:creator>
  <dc:description/>
  <dc:language>en-US</dc:language>
  <cp:lastModifiedBy/>
  <dcterms:modified xsi:type="dcterms:W3CDTF">2026-10-30T19:41:51Z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